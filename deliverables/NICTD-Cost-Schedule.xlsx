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4ed993ca7122daa/Desktop/ICT DATABASE PROJECT/deliverables/"/>
    </mc:Choice>
  </mc:AlternateContent>
  <xr:revisionPtr revIDLastSave="2" documentId="11_E3BD8796B48637D5D83535607638F9A6C84269F6" xr6:coauthVersionLast="47" xr6:coauthVersionMax="47" xr10:uidLastSave="{D5215F34-EAE6-4FF3-8883-B6A077CBA112}"/>
  <bookViews>
    <workbookView xWindow="-120" yWindow="-120" windowWidth="20730" windowHeight="11040" activeTab="2" xr2:uid="{00000000-000D-0000-FFFF-FFFF00000000}"/>
  </bookViews>
  <sheets>
    <sheet name="Cost Summary" sheetId="1" r:id="rId1"/>
    <sheet name="Pay Grades" sheetId="2" r:id="rId2"/>
    <sheet name="Field Team Cost" sheetId="3" r:id="rId3"/>
    <sheet name="Data Team" sheetId="4" r:id="rId4"/>
  </sheets>
  <calcPr calcId="191029" calcCompleted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C16" i="1" s="1"/>
  <c r="E20" i="3"/>
  <c r="D20" i="3"/>
  <c r="C20" i="3"/>
  <c r="B20" i="3"/>
  <c r="B8" i="2"/>
  <c r="C15" i="1"/>
  <c r="C17" i="1" l="1"/>
  <c r="B9" i="2"/>
  <c r="F10" i="4" l="1"/>
  <c r="B10" i="2"/>
  <c r="B11" i="2" l="1"/>
  <c r="F16" i="3" s="1"/>
  <c r="F9" i="4"/>
  <c r="B12" i="2" l="1"/>
  <c r="F8" i="4"/>
  <c r="F7" i="4"/>
  <c r="F8" i="3"/>
  <c r="F10" i="3"/>
  <c r="F7" i="3"/>
  <c r="F11" i="3"/>
  <c r="F9" i="3"/>
  <c r="F12" i="3"/>
  <c r="F19" i="3"/>
  <c r="F5" i="3"/>
  <c r="F17" i="3"/>
  <c r="F14" i="3"/>
  <c r="F18" i="3"/>
  <c r="F6" i="3"/>
  <c r="F13" i="3"/>
  <c r="F15" i="3"/>
  <c r="F20" i="3" l="1"/>
  <c r="C5" i="1" s="1"/>
  <c r="B13" i="2"/>
  <c r="C7" i="1" s="1"/>
  <c r="F6" i="4"/>
  <c r="F5" i="4"/>
  <c r="F11" i="4" l="1"/>
  <c r="C6" i="1" s="1"/>
  <c r="C8" i="1"/>
  <c r="C9" i="1" l="1"/>
  <c r="C11" i="1" s="1"/>
</calcChain>
</file>

<file path=xl/sharedStrings.xml><?xml version="1.0" encoding="utf-8"?>
<sst xmlns="http://schemas.openxmlformats.org/spreadsheetml/2006/main" count="106" uniqueCount="91">
  <si>
    <t>NICTD Data Mining Phase — Cost Summary</t>
  </si>
  <si>
    <t>Live totals. Every figure here is a formula pulling from the other sheets — edit any blue input anywhere and this page updates instantly.</t>
  </si>
  <si>
    <t>Cost component</t>
  </si>
  <si>
    <t>Notes</t>
  </si>
  <si>
    <t>USD</t>
  </si>
  <si>
    <t>Field team labour</t>
  </si>
  <si>
    <t>118 enumerators, 33 KII, 31 supervisors, 15 leads (all 15 counties)</t>
  </si>
  <si>
    <t>Data team labour</t>
  </si>
  <si>
    <t>Post-collection processing (see Data Team sheet)</t>
  </si>
  <si>
    <t>Central management</t>
  </si>
  <si>
    <t>Survey/Project Director (G6) x 55 days</t>
  </si>
  <si>
    <t>Labour subtotal</t>
  </si>
  <si>
    <t>Field + Data Team + Management</t>
  </si>
  <si>
    <t>Contingency</t>
  </si>
  <si>
    <t>Editable % of labour subtotal -&gt;</t>
  </si>
  <si>
    <t>Non-labour (optional)</t>
  </si>
  <si>
    <t>Transport, tablets, per-diem, training — fill if applicable</t>
  </si>
  <si>
    <t>GRAND TOTAL</t>
  </si>
  <si>
    <t>Labour subtotal + contingency + non-labour</t>
  </si>
  <si>
    <t>Workforce recap</t>
  </si>
  <si>
    <t>Group</t>
  </si>
  <si>
    <t>Headcount</t>
  </si>
  <si>
    <t>Total field workforce</t>
  </si>
  <si>
    <t>Data team headcount</t>
  </si>
  <si>
    <t>Grand total workforce</t>
  </si>
  <si>
    <t>Pay Grade Ladder</t>
  </si>
  <si>
    <t>Only the two blue cells are inputs. Each grade = previous grade + step, so changing the base or the step recomputes every rate — and every cost on the other sheets.</t>
  </si>
  <si>
    <t>Base daily rate (Grade 1, USD)</t>
  </si>
  <si>
    <t>Step per grade (USD)</t>
  </si>
  <si>
    <t>Grade</t>
  </si>
  <si>
    <t>Daily rate (USD)</t>
  </si>
  <si>
    <t>Example roles at this grade</t>
  </si>
  <si>
    <t>G1</t>
  </si>
  <si>
    <t>Enumerator (field data collector)</t>
  </si>
  <si>
    <t>G2</t>
  </si>
  <si>
    <t>Facility / KII collector  ·  Data processing clerk</t>
  </si>
  <si>
    <t>G3</t>
  </si>
  <si>
    <t>Field supervisor  ·  Data quality analyst</t>
  </si>
  <si>
    <t>G4</t>
  </si>
  <si>
    <t>County research lead  ·  Database/CAPI engineer  ·  GIS analyst</t>
  </si>
  <si>
    <t>G5</t>
  </si>
  <si>
    <t>Sampling statistician  ·  Data Team lead</t>
  </si>
  <si>
    <t>G6</t>
  </si>
  <si>
    <t>Survey / Project Director</t>
  </si>
  <si>
    <t>Field Team Cost by County</t>
  </si>
  <si>
    <t>Cost = headcount x paid days x grade rate. Edit any headcount (cols B-E) or the paid-days block (blue) and the county cost + totals recompute.</t>
  </si>
  <si>
    <t>County</t>
  </si>
  <si>
    <t>Enum. (n)</t>
  </si>
  <si>
    <t>KII (n)</t>
  </si>
  <si>
    <t>Superv. (n)</t>
  </si>
  <si>
    <t>Leads (n)</t>
  </si>
  <si>
    <t>County labour cost (USD)</t>
  </si>
  <si>
    <t>Role</t>
  </si>
  <si>
    <t>Paid days</t>
  </si>
  <si>
    <t>Montserrado</t>
  </si>
  <si>
    <t>Enumerator</t>
  </si>
  <si>
    <t>Nimba</t>
  </si>
  <si>
    <t>Facility / KII collector</t>
  </si>
  <si>
    <t>Bong</t>
  </si>
  <si>
    <t>Field supervisor</t>
  </si>
  <si>
    <t>Lofa</t>
  </si>
  <si>
    <t>County research lead</t>
  </si>
  <si>
    <t>Grand Bassa</t>
  </si>
  <si>
    <t>Margibi</t>
  </si>
  <si>
    <t>Maryland</t>
  </si>
  <si>
    <t>Grand Cape Mount</t>
  </si>
  <si>
    <t>Grand Gedeh</t>
  </si>
  <si>
    <t>Sinoe</t>
  </si>
  <si>
    <t>Bomi</t>
  </si>
  <si>
    <t>Gbarpolu</t>
  </si>
  <si>
    <t>River Cess</t>
  </si>
  <si>
    <t>River Gee</t>
  </si>
  <si>
    <t>Grand Kru</t>
  </si>
  <si>
    <t>FIELD TEAM TOTAL</t>
  </si>
  <si>
    <t>Data Team — Post-Collection Processing</t>
  </si>
  <si>
    <t>Central team that cleans, validates, weights, codes, maps and uploads the field data into NICTD. Edit headcount or paid days (blue) to recompute.</t>
  </si>
  <si>
    <t>Responsibility</t>
  </si>
  <si>
    <t>Cost (USD)</t>
  </si>
  <si>
    <t>Data Team Lead</t>
  </si>
  <si>
    <t>Owns the processing pipeline, review queue &amp; final sign-off</t>
  </si>
  <si>
    <t>Sampling Statistician</t>
  </si>
  <si>
    <t>Weighting, county estimates, precision &amp; error checks</t>
  </si>
  <si>
    <t>Database / CAPI Engineer</t>
  </si>
  <si>
    <t>Builds CAPI instrument, sync server, upload pipeline to NICTD</t>
  </si>
  <si>
    <t>GIS / Mapping Analyst</t>
  </si>
  <si>
    <t>Enumeration-area frames, geocoding, choropleth prep</t>
  </si>
  <si>
    <t>Data Quality Analyst</t>
  </si>
  <si>
    <t>Validation rules, cleaning, outlier &amp; consistency review</t>
  </si>
  <si>
    <t>Data Processing Clerk</t>
  </si>
  <si>
    <t>Coding open responses, data entry backup, reconciliation</t>
  </si>
  <si>
    <t>DATA TEAM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</si>
</sst>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&quot;-&quot;"/>
  </numFmts>
  <fonts count="9" x14ac:knownFonts="1">
    <font>
      <sz val="11"/>
      <color theme="1"/>
      <name val="Calibri"/>
      <family val="2"/>
      <scheme val="minor"/>
    </font>
    <font>
      <b/>
      <sz val="17"/>
      <color rgb="FF12263A"/>
      <name val="Arial"/>
    </font>
    <font>
      <sz val="9.5"/>
      <color rgb="FF5C6B78"/>
      <name val="Arial"/>
    </font>
    <font>
      <b/>
      <sz val="10"/>
      <color rgb="FF12263A"/>
      <name val="Arial"/>
    </font>
    <font>
      <sz val="10"/>
      <color rgb="FF0000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9D6"/>
      </patternFill>
    </fill>
    <fill>
      <patternFill patternType="solid">
        <fgColor rgb="FF12263A"/>
      </patternFill>
    </fill>
    <fill>
      <patternFill patternType="solid">
        <fgColor rgb="FF1E8A8A"/>
      </patternFill>
    </fill>
    <fill>
      <patternFill patternType="solid">
        <fgColor rgb="FFF7F4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2" fillId="0" borderId="1" xfId="0" applyFont="1" applyBorder="1" applyAlignment="1">
      <alignment vertical="top" wrapText="1"/>
    </xf>
    <xf numFmtId="164" fontId="6" fillId="0" borderId="1" xfId="0" applyNumberFormat="1" applyFont="1" applyBorder="1"/>
    <xf numFmtId="0" fontId="5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/>
    <xf numFmtId="9" fontId="4" fillId="2" borderId="1" xfId="0" applyNumberFormat="1" applyFont="1" applyFill="1" applyBorder="1"/>
    <xf numFmtId="164" fontId="4" fillId="2" borderId="1" xfId="0" applyNumberFormat="1" applyFont="1" applyFill="1" applyBorder="1"/>
    <xf numFmtId="0" fontId="8" fillId="3" borderId="1" xfId="0" applyFont="1" applyFill="1" applyBorder="1"/>
    <xf numFmtId="0" fontId="2" fillId="3" borderId="1" xfId="0" applyFont="1" applyFill="1" applyBorder="1" applyAlignment="1">
      <alignment vertical="top" wrapText="1"/>
    </xf>
    <xf numFmtId="164" fontId="8" fillId="3" borderId="1" xfId="0" applyNumberFormat="1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5" borderId="1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164" fontId="5" fillId="3" borderId="1" xfId="0" applyNumberFormat="1" applyFont="1" applyFill="1" applyBorder="1"/>
    <xf numFmtId="0" fontId="0" fillId="3" borderId="1" xfId="0" applyFill="1" applyBorder="1"/>
    <xf numFmtId="0" fontId="1" fillId="0" borderId="0" xfId="0" applyFont="1"/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selection sqref="A1:D1"/>
    </sheetView>
  </sheetViews>
  <sheetFormatPr defaultRowHeight="15" x14ac:dyDescent="0.25"/>
  <cols>
    <col min="1" max="1" width="34" customWidth="1"/>
    <col min="2" max="2" width="40" customWidth="1"/>
    <col min="3" max="3" width="18" customWidth="1"/>
    <col min="4" max="4" width="10" customWidth="1"/>
  </cols>
  <sheetData>
    <row r="1" spans="1:4" ht="21.75" x14ac:dyDescent="0.3">
      <c r="A1" s="30" t="s">
        <v>0</v>
      </c>
      <c r="B1" s="31"/>
      <c r="C1" s="31"/>
      <c r="D1" s="31"/>
    </row>
    <row r="2" spans="1:4" x14ac:dyDescent="0.25">
      <c r="A2" s="32" t="s">
        <v>1</v>
      </c>
      <c r="B2" s="31"/>
      <c r="C2" s="31"/>
      <c r="D2" s="31"/>
    </row>
    <row r="4" spans="1:4" ht="26.1" customHeight="1" x14ac:dyDescent="0.25">
      <c r="A4" s="2" t="s">
        <v>2</v>
      </c>
      <c r="B4" s="2" t="s">
        <v>3</v>
      </c>
      <c r="C4" s="2" t="s">
        <v>4</v>
      </c>
    </row>
    <row r="5" spans="1:4" ht="26.1" customHeight="1" x14ac:dyDescent="0.25">
      <c r="A5" s="3" t="s">
        <v>5</v>
      </c>
      <c r="B5" s="4" t="s">
        <v>6</v>
      </c>
      <c r="C5" s="5">
        <f>'Field Team Cost'!$F$20</f>
        <v>390250</v>
      </c>
    </row>
    <row r="6" spans="1:4" ht="26.1" customHeight="1" x14ac:dyDescent="0.25">
      <c r="A6" s="3" t="s">
        <v>7</v>
      </c>
      <c r="B6" s="4" t="s">
        <v>8</v>
      </c>
      <c r="C6" s="5">
        <f>'Data Team'!$F$11</f>
        <v>57500</v>
      </c>
    </row>
    <row r="7" spans="1:4" ht="26.1" customHeight="1" x14ac:dyDescent="0.25">
      <c r="A7" s="3" t="s">
        <v>9</v>
      </c>
      <c r="B7" s="4" t="s">
        <v>10</v>
      </c>
      <c r="C7" s="5">
        <f>55*'Pay Grades'!$B$13</f>
        <v>16500</v>
      </c>
    </row>
    <row r="8" spans="1:4" ht="26.1" customHeight="1" x14ac:dyDescent="0.25">
      <c r="A8" s="6" t="s">
        <v>11</v>
      </c>
      <c r="B8" s="7" t="s">
        <v>12</v>
      </c>
      <c r="C8" s="8">
        <f>SUM(C5:C7)</f>
        <v>464250</v>
      </c>
    </row>
    <row r="9" spans="1:4" ht="26.1" customHeight="1" x14ac:dyDescent="0.25">
      <c r="A9" s="3" t="s">
        <v>13</v>
      </c>
      <c r="B9" s="4" t="s">
        <v>14</v>
      </c>
      <c r="C9" s="5">
        <f>C8*D9</f>
        <v>46425</v>
      </c>
      <c r="D9" s="9">
        <v>0.1</v>
      </c>
    </row>
    <row r="10" spans="1:4" ht="26.1" customHeight="1" x14ac:dyDescent="0.25">
      <c r="A10" s="3" t="s">
        <v>15</v>
      </c>
      <c r="B10" s="4" t="s">
        <v>16</v>
      </c>
      <c r="C10" s="10">
        <v>0</v>
      </c>
    </row>
    <row r="11" spans="1:4" ht="26.1" customHeight="1" x14ac:dyDescent="0.25">
      <c r="A11" s="11" t="s">
        <v>17</v>
      </c>
      <c r="B11" s="12" t="s">
        <v>18</v>
      </c>
      <c r="C11" s="13">
        <f>C8+C9+C10</f>
        <v>510675</v>
      </c>
    </row>
    <row r="13" spans="1:4" ht="21.75" x14ac:dyDescent="0.3">
      <c r="A13" s="1" t="s">
        <v>19</v>
      </c>
    </row>
    <row r="14" spans="1:4" ht="26.1" customHeight="1" x14ac:dyDescent="0.25">
      <c r="A14" s="14" t="s">
        <v>20</v>
      </c>
      <c r="B14" s="14"/>
      <c r="C14" s="14" t="s">
        <v>21</v>
      </c>
    </row>
    <row r="15" spans="1:4" x14ac:dyDescent="0.25">
      <c r="A15" s="3" t="s">
        <v>22</v>
      </c>
      <c r="B15" s="15"/>
      <c r="C15" s="16">
        <f>197</f>
        <v>197</v>
      </c>
    </row>
    <row r="16" spans="1:4" x14ac:dyDescent="0.25">
      <c r="A16" s="3" t="s">
        <v>23</v>
      </c>
      <c r="B16" s="15"/>
      <c r="C16" s="16">
        <f>'Data Team'!$D$11</f>
        <v>15</v>
      </c>
    </row>
    <row r="17" spans="1:3" x14ac:dyDescent="0.25">
      <c r="A17" s="3" t="s">
        <v>24</v>
      </c>
      <c r="B17" s="15"/>
      <c r="C17" s="16">
        <f>197+'Data Team'!$D$11+1</f>
        <v>213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showGridLines="0" workbookViewId="0">
      <selection sqref="A1:D1"/>
    </sheetView>
  </sheetViews>
  <sheetFormatPr defaultRowHeight="15" x14ac:dyDescent="0.25"/>
  <cols>
    <col min="1" max="1" width="10" customWidth="1"/>
    <col min="2" max="2" width="18" customWidth="1"/>
    <col min="3" max="3" width="62" customWidth="1"/>
  </cols>
  <sheetData>
    <row r="1" spans="1:4" ht="21.75" x14ac:dyDescent="0.3">
      <c r="A1" s="30" t="s">
        <v>25</v>
      </c>
      <c r="B1" s="31"/>
      <c r="C1" s="31"/>
      <c r="D1" s="31"/>
    </row>
    <row r="2" spans="1:4" x14ac:dyDescent="0.25">
      <c r="A2" s="32" t="s">
        <v>26</v>
      </c>
      <c r="B2" s="31"/>
      <c r="C2" s="31"/>
      <c r="D2" s="31"/>
    </row>
    <row r="4" spans="1:4" x14ac:dyDescent="0.25">
      <c r="A4" s="17" t="s">
        <v>27</v>
      </c>
      <c r="B4" s="10">
        <v>50</v>
      </c>
    </row>
    <row r="5" spans="1:4" x14ac:dyDescent="0.25">
      <c r="A5" s="17" t="s">
        <v>28</v>
      </c>
      <c r="B5" s="10">
        <v>50</v>
      </c>
    </row>
    <row r="7" spans="1:4" ht="26.1" customHeight="1" x14ac:dyDescent="0.25">
      <c r="A7" s="2" t="s">
        <v>29</v>
      </c>
      <c r="B7" s="2" t="s">
        <v>30</v>
      </c>
      <c r="C7" s="2" t="s">
        <v>31</v>
      </c>
    </row>
    <row r="8" spans="1:4" x14ac:dyDescent="0.25">
      <c r="A8" s="18" t="s">
        <v>32</v>
      </c>
      <c r="B8" s="19">
        <f>$B$4</f>
        <v>50</v>
      </c>
      <c r="C8" s="20" t="s">
        <v>33</v>
      </c>
    </row>
    <row r="9" spans="1:4" x14ac:dyDescent="0.25">
      <c r="A9" s="18" t="s">
        <v>34</v>
      </c>
      <c r="B9" s="19">
        <f>B8+$B$5</f>
        <v>100</v>
      </c>
      <c r="C9" s="20" t="s">
        <v>35</v>
      </c>
    </row>
    <row r="10" spans="1:4" x14ac:dyDescent="0.25">
      <c r="A10" s="18" t="s">
        <v>36</v>
      </c>
      <c r="B10" s="19">
        <f>B9+$B$5</f>
        <v>150</v>
      </c>
      <c r="C10" s="20" t="s">
        <v>37</v>
      </c>
    </row>
    <row r="11" spans="1:4" x14ac:dyDescent="0.25">
      <c r="A11" s="18" t="s">
        <v>38</v>
      </c>
      <c r="B11" s="19">
        <f>B10+$B$5</f>
        <v>200</v>
      </c>
      <c r="C11" s="20" t="s">
        <v>39</v>
      </c>
    </row>
    <row r="12" spans="1:4" x14ac:dyDescent="0.25">
      <c r="A12" s="18" t="s">
        <v>40</v>
      </c>
      <c r="B12" s="19">
        <f>B11+$B$5</f>
        <v>250</v>
      </c>
      <c r="C12" s="20" t="s">
        <v>41</v>
      </c>
    </row>
    <row r="13" spans="1:4" x14ac:dyDescent="0.25">
      <c r="A13" s="18" t="s">
        <v>42</v>
      </c>
      <c r="B13" s="19">
        <f>B12+$B$5</f>
        <v>300</v>
      </c>
      <c r="C13" s="20" t="s">
        <v>43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tabSelected="1" zoomScale="89" workbookViewId="0">
      <selection sqref="A1:H1"/>
    </sheetView>
  </sheetViews>
  <sheetFormatPr defaultRowHeight="15" x14ac:dyDescent="0.25"/>
  <cols>
    <col min="1" max="1" width="20" customWidth="1"/>
    <col min="2" max="2" width="11" customWidth="1"/>
    <col min="3" max="3" width="10" customWidth="1"/>
    <col min="4" max="4" width="12" customWidth="1"/>
    <col min="5" max="5" width="11" customWidth="1"/>
    <col min="6" max="6" width="22" customWidth="1"/>
    <col min="10" max="10" width="20" customWidth="1"/>
    <col min="11" max="11" width="11" customWidth="1"/>
    <col min="12" max="12" width="9" customWidth="1"/>
  </cols>
  <sheetData>
    <row r="1" spans="1:12" ht="21.75" x14ac:dyDescent="0.3">
      <c r="A1" s="30" t="s">
        <v>44</v>
      </c>
      <c r="B1" s="31"/>
      <c r="C1" s="31"/>
      <c r="D1" s="31"/>
      <c r="E1" s="31"/>
      <c r="F1" s="31"/>
      <c r="G1" s="31"/>
      <c r="H1" s="31"/>
    </row>
    <row r="2" spans="1:12" x14ac:dyDescent="0.25">
      <c r="A2" s="32" t="s">
        <v>45</v>
      </c>
      <c r="B2" s="31"/>
      <c r="C2" s="31"/>
      <c r="D2" s="31"/>
      <c r="E2" s="31"/>
      <c r="F2" s="31"/>
      <c r="G2" s="31"/>
      <c r="H2" s="31"/>
    </row>
    <row r="4" spans="1:12" ht="26.1" customHeight="1" x14ac:dyDescent="0.25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J4" s="21" t="s">
        <v>52</v>
      </c>
      <c r="K4" s="21" t="s">
        <v>53</v>
      </c>
      <c r="L4" s="21" t="s">
        <v>29</v>
      </c>
    </row>
    <row r="5" spans="1:12" x14ac:dyDescent="0.25">
      <c r="A5" s="3" t="s">
        <v>54</v>
      </c>
      <c r="B5" s="22">
        <v>13</v>
      </c>
      <c r="C5" s="22">
        <v>3</v>
      </c>
      <c r="D5" s="22">
        <v>3</v>
      </c>
      <c r="E5" s="22">
        <v>1</v>
      </c>
      <c r="F5" s="5">
        <f>B5*$K$5*'Pay Grades'!$B$8+C5*$K$6*'Pay Grades'!$B$9+D5*$K$7*'Pay Grades'!$B$10+E5*$K$8*'Pay Grades'!$B$11</f>
        <v>36250</v>
      </c>
      <c r="J5" s="3" t="s">
        <v>55</v>
      </c>
      <c r="K5" s="22">
        <v>20</v>
      </c>
      <c r="L5" s="23" t="s">
        <v>32</v>
      </c>
    </row>
    <row r="6" spans="1:12" x14ac:dyDescent="0.25">
      <c r="A6" s="24" t="s">
        <v>56</v>
      </c>
      <c r="B6" s="25">
        <v>9</v>
      </c>
      <c r="C6" s="25">
        <v>3</v>
      </c>
      <c r="D6" s="25">
        <v>2</v>
      </c>
      <c r="E6" s="25">
        <v>1</v>
      </c>
      <c r="F6" s="5">
        <f>B6*$K$5*'Pay Grades'!$B$8+C6*$K$6*'Pay Grades'!$B$9+D6*$K$7*'Pay Grades'!$B$10+E6*$K$8*'Pay Grades'!$B$11</f>
        <v>28500</v>
      </c>
      <c r="J6" s="3" t="s">
        <v>57</v>
      </c>
      <c r="K6" s="22">
        <v>20</v>
      </c>
      <c r="L6" s="23" t="s">
        <v>34</v>
      </c>
    </row>
    <row r="7" spans="1:12" x14ac:dyDescent="0.25">
      <c r="A7" s="3" t="s">
        <v>58</v>
      </c>
      <c r="B7" s="22">
        <v>9</v>
      </c>
      <c r="C7" s="22">
        <v>3</v>
      </c>
      <c r="D7" s="22">
        <v>2</v>
      </c>
      <c r="E7" s="22">
        <v>1</v>
      </c>
      <c r="F7" s="5">
        <f>B7*$K$5*'Pay Grades'!$B$8+C7*$K$6*'Pay Grades'!$B$9+D7*$K$7*'Pay Grades'!$B$10+E7*$K$8*'Pay Grades'!$B$11</f>
        <v>28500</v>
      </c>
      <c r="J7" s="3" t="s">
        <v>59</v>
      </c>
      <c r="K7" s="22">
        <v>25</v>
      </c>
      <c r="L7" s="23" t="s">
        <v>36</v>
      </c>
    </row>
    <row r="8" spans="1:12" x14ac:dyDescent="0.25">
      <c r="A8" s="24" t="s">
        <v>60</v>
      </c>
      <c r="B8" s="25">
        <v>8</v>
      </c>
      <c r="C8" s="25">
        <v>2</v>
      </c>
      <c r="D8" s="25">
        <v>2</v>
      </c>
      <c r="E8" s="25">
        <v>1</v>
      </c>
      <c r="F8" s="5">
        <f>B8*$K$5*'Pay Grades'!$B$8+C8*$K$6*'Pay Grades'!$B$9+D8*$K$7*'Pay Grades'!$B$10+E8*$K$8*'Pay Grades'!$B$11</f>
        <v>25500</v>
      </c>
      <c r="J8" s="3" t="s">
        <v>61</v>
      </c>
      <c r="K8" s="22">
        <v>30</v>
      </c>
      <c r="L8" s="23" t="s">
        <v>38</v>
      </c>
    </row>
    <row r="9" spans="1:12" x14ac:dyDescent="0.25">
      <c r="A9" s="3" t="s">
        <v>62</v>
      </c>
      <c r="B9" s="22">
        <v>8</v>
      </c>
      <c r="C9" s="22">
        <v>2</v>
      </c>
      <c r="D9" s="22">
        <v>2</v>
      </c>
      <c r="E9" s="22">
        <v>1</v>
      </c>
      <c r="F9" s="5">
        <f>B9*$K$5*'Pay Grades'!$B$8+C9*$K$6*'Pay Grades'!$B$9+D9*$K$7*'Pay Grades'!$B$10+E9*$K$8*'Pay Grades'!$B$11</f>
        <v>25500</v>
      </c>
    </row>
    <row r="10" spans="1:12" x14ac:dyDescent="0.25">
      <c r="A10" s="24" t="s">
        <v>63</v>
      </c>
      <c r="B10" s="25">
        <v>8</v>
      </c>
      <c r="C10" s="25">
        <v>2</v>
      </c>
      <c r="D10" s="25">
        <v>2</v>
      </c>
      <c r="E10" s="25">
        <v>1</v>
      </c>
      <c r="F10" s="5">
        <f>B10*$K$5*'Pay Grades'!$B$8+C10*$K$6*'Pay Grades'!$B$9+D10*$K$7*'Pay Grades'!$B$10+E10*$K$8*'Pay Grades'!$B$11</f>
        <v>25500</v>
      </c>
    </row>
    <row r="11" spans="1:12" x14ac:dyDescent="0.25">
      <c r="A11" s="3" t="s">
        <v>64</v>
      </c>
      <c r="B11" s="22">
        <v>7</v>
      </c>
      <c r="C11" s="22">
        <v>2</v>
      </c>
      <c r="D11" s="22">
        <v>2</v>
      </c>
      <c r="E11" s="22">
        <v>1</v>
      </c>
      <c r="F11" s="5">
        <f>B11*$K$5*'Pay Grades'!$B$8+C11*$K$6*'Pay Grades'!$B$9+D11*$K$7*'Pay Grades'!$B$10+E11*$K$8*'Pay Grades'!$B$11</f>
        <v>24500</v>
      </c>
    </row>
    <row r="12" spans="1:12" x14ac:dyDescent="0.25">
      <c r="A12" s="24" t="s">
        <v>65</v>
      </c>
      <c r="B12" s="25">
        <v>7</v>
      </c>
      <c r="C12" s="25">
        <v>2</v>
      </c>
      <c r="D12" s="25">
        <v>2</v>
      </c>
      <c r="E12" s="25">
        <v>1</v>
      </c>
      <c r="F12" s="5">
        <f>B12*$K$5*'Pay Grades'!$B$8+C12*$K$6*'Pay Grades'!$B$9+D12*$K$7*'Pay Grades'!$B$10+E12*$K$8*'Pay Grades'!$B$11</f>
        <v>24500</v>
      </c>
    </row>
    <row r="13" spans="1:12" x14ac:dyDescent="0.25">
      <c r="A13" s="3" t="s">
        <v>66</v>
      </c>
      <c r="B13" s="22">
        <v>7</v>
      </c>
      <c r="C13" s="22">
        <v>2</v>
      </c>
      <c r="D13" s="22">
        <v>2</v>
      </c>
      <c r="E13" s="22">
        <v>1</v>
      </c>
      <c r="F13" s="5">
        <f>B13*$K$5*'Pay Grades'!$B$8+C13*$K$6*'Pay Grades'!$B$9+D13*$K$7*'Pay Grades'!$B$10+E13*$K$8*'Pay Grades'!$B$11</f>
        <v>24500</v>
      </c>
    </row>
    <row r="14" spans="1:12" x14ac:dyDescent="0.25">
      <c r="A14" s="24" t="s">
        <v>67</v>
      </c>
      <c r="B14" s="25">
        <v>7</v>
      </c>
      <c r="C14" s="25">
        <v>2</v>
      </c>
      <c r="D14" s="25">
        <v>2</v>
      </c>
      <c r="E14" s="25">
        <v>1</v>
      </c>
      <c r="F14" s="5">
        <f>B14*$K$5*'Pay Grades'!$B$8+C14*$K$6*'Pay Grades'!$B$9+D14*$K$7*'Pay Grades'!$B$10+E14*$K$8*'Pay Grades'!$B$11</f>
        <v>24500</v>
      </c>
    </row>
    <row r="15" spans="1:12" x14ac:dyDescent="0.25">
      <c r="A15" s="3" t="s">
        <v>68</v>
      </c>
      <c r="B15" s="22">
        <v>7</v>
      </c>
      <c r="C15" s="22">
        <v>2</v>
      </c>
      <c r="D15" s="22">
        <v>2</v>
      </c>
      <c r="E15" s="22">
        <v>1</v>
      </c>
      <c r="F15" s="5">
        <f>B15*$K$5*'Pay Grades'!$B$8+C15*$K$6*'Pay Grades'!$B$9+D15*$K$7*'Pay Grades'!$B$10+E15*$K$8*'Pay Grades'!$B$11</f>
        <v>24500</v>
      </c>
    </row>
    <row r="16" spans="1:12" x14ac:dyDescent="0.25">
      <c r="A16" s="24" t="s">
        <v>69</v>
      </c>
      <c r="B16" s="25">
        <v>7</v>
      </c>
      <c r="C16" s="25">
        <v>2</v>
      </c>
      <c r="D16" s="25">
        <v>2</v>
      </c>
      <c r="E16" s="25">
        <v>1</v>
      </c>
      <c r="F16" s="5">
        <f>B16*$K$5*'Pay Grades'!$B$8+C16*$K$6*'Pay Grades'!$B$9+D16*$K$7*'Pay Grades'!$B$10+E16*$K$8*'Pay Grades'!$B$11</f>
        <v>24500</v>
      </c>
    </row>
    <row r="17" spans="1:6" x14ac:dyDescent="0.25">
      <c r="A17" s="3" t="s">
        <v>70</v>
      </c>
      <c r="B17" s="22">
        <v>7</v>
      </c>
      <c r="C17" s="22">
        <v>2</v>
      </c>
      <c r="D17" s="22">
        <v>2</v>
      </c>
      <c r="E17" s="22">
        <v>1</v>
      </c>
      <c r="F17" s="5">
        <f>B17*$K$5*'Pay Grades'!$B$8+C17*$K$6*'Pay Grades'!$B$9+D17*$K$7*'Pay Grades'!$B$10+E17*$K$8*'Pay Grades'!$B$11</f>
        <v>24500</v>
      </c>
    </row>
    <row r="18" spans="1:6" x14ac:dyDescent="0.25">
      <c r="A18" s="24" t="s">
        <v>71</v>
      </c>
      <c r="B18" s="25">
        <v>7</v>
      </c>
      <c r="C18" s="25">
        <v>2</v>
      </c>
      <c r="D18" s="25">
        <v>2</v>
      </c>
      <c r="E18" s="25">
        <v>1</v>
      </c>
      <c r="F18" s="5">
        <f>B18*$K$5*'Pay Grades'!$B$8+C18*$K$6*'Pay Grades'!$B$9+D18*$K$7*'Pay Grades'!$B$10+E18*$K$8*'Pay Grades'!$B$11</f>
        <v>24500</v>
      </c>
    </row>
    <row r="19" spans="1:6" x14ac:dyDescent="0.25">
      <c r="A19" s="3" t="s">
        <v>72</v>
      </c>
      <c r="B19" s="22">
        <v>7</v>
      </c>
      <c r="C19" s="22">
        <v>2</v>
      </c>
      <c r="D19" s="22">
        <v>2</v>
      </c>
      <c r="E19" s="22">
        <v>1</v>
      </c>
      <c r="F19" s="5">
        <f>B19*$K$5*'Pay Grades'!$B$8+C19*$K$6*'Pay Grades'!$B$9+D19*$K$7*'Pay Grades'!$B$10+E19*$K$8*'Pay Grades'!$B$11</f>
        <v>24500</v>
      </c>
    </row>
    <row r="20" spans="1:6" x14ac:dyDescent="0.25">
      <c r="A20" s="26" t="s">
        <v>73</v>
      </c>
      <c r="B20" s="27">
        <f>SUM(B5:B19)</f>
        <v>118</v>
      </c>
      <c r="C20" s="27">
        <f>SUM(C5:C19)</f>
        <v>33</v>
      </c>
      <c r="D20" s="27">
        <f>SUM(D5:D19)</f>
        <v>31</v>
      </c>
      <c r="E20" s="27">
        <f>SUM(E5:E19)</f>
        <v>15</v>
      </c>
      <c r="F20" s="28">
        <f>SUM(F5:F19)</f>
        <v>390250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zoomScale="118" workbookViewId="0">
      <selection activeCell="E6" sqref="E6"/>
    </sheetView>
  </sheetViews>
  <sheetFormatPr defaultRowHeight="15" x14ac:dyDescent="0.25"/>
  <cols>
    <col min="1" max="1" width="24" customWidth="1"/>
    <col min="2" max="2" width="40" customWidth="1"/>
    <col min="3" max="3" width="8" customWidth="1"/>
    <col min="4" max="5" width="11" customWidth="1"/>
    <col min="6" max="6" width="16" customWidth="1"/>
  </cols>
  <sheetData>
    <row r="1" spans="1:6" ht="21.75" x14ac:dyDescent="0.3">
      <c r="A1" s="30" t="s">
        <v>74</v>
      </c>
      <c r="B1" s="31"/>
      <c r="C1" s="31"/>
      <c r="D1" s="31"/>
      <c r="E1" s="31"/>
      <c r="F1" s="31"/>
    </row>
    <row r="2" spans="1:6" x14ac:dyDescent="0.25">
      <c r="A2" s="32" t="s">
        <v>75</v>
      </c>
      <c r="B2" s="31"/>
      <c r="C2" s="31"/>
      <c r="D2" s="31"/>
      <c r="E2" s="31"/>
      <c r="F2" s="31"/>
    </row>
    <row r="4" spans="1:6" ht="26.1" customHeight="1" x14ac:dyDescent="0.25">
      <c r="A4" s="14" t="s">
        <v>52</v>
      </c>
      <c r="B4" s="14" t="s">
        <v>76</v>
      </c>
      <c r="C4" s="14" t="s">
        <v>29</v>
      </c>
      <c r="D4" s="14" t="s">
        <v>21</v>
      </c>
      <c r="E4" s="14" t="s">
        <v>53</v>
      </c>
      <c r="F4" s="14" t="s">
        <v>77</v>
      </c>
    </row>
    <row r="5" spans="1:6" ht="30" customHeight="1" x14ac:dyDescent="0.25">
      <c r="A5" s="18" t="s">
        <v>78</v>
      </c>
      <c r="B5" s="20" t="s">
        <v>79</v>
      </c>
      <c r="C5" s="23" t="s">
        <v>40</v>
      </c>
      <c r="D5" s="22">
        <v>1</v>
      </c>
      <c r="E5" s="22">
        <v>45</v>
      </c>
      <c r="F5" s="5">
        <f>D5*E5*'Pay Grades'!$B$12</f>
        <v>11250</v>
      </c>
    </row>
    <row r="6" spans="1:6" ht="30" customHeight="1" x14ac:dyDescent="0.25">
      <c r="A6" s="18" t="s">
        <v>80</v>
      </c>
      <c r="B6" s="20" t="s">
        <v>81</v>
      </c>
      <c r="C6" s="23" t="s">
        <v>40</v>
      </c>
      <c r="D6" s="22">
        <v>1</v>
      </c>
      <c r="E6" s="22">
        <v>25</v>
      </c>
      <c r="F6" s="5">
        <f>D6*E6*'Pay Grades'!$B$12</f>
        <v>6250</v>
      </c>
    </row>
    <row r="7" spans="1:6" ht="30" customHeight="1" x14ac:dyDescent="0.25">
      <c r="A7" s="18" t="s">
        <v>82</v>
      </c>
      <c r="B7" s="20" t="s">
        <v>83</v>
      </c>
      <c r="C7" s="23" t="s">
        <v>38</v>
      </c>
      <c r="D7" s="22">
        <v>2</v>
      </c>
      <c r="E7" s="22">
        <v>30</v>
      </c>
      <c r="F7" s="5">
        <f>D7*E7*'Pay Grades'!$B$11</f>
        <v>12000</v>
      </c>
    </row>
    <row r="8" spans="1:6" ht="30" customHeight="1" x14ac:dyDescent="0.25">
      <c r="A8" s="18" t="s">
        <v>84</v>
      </c>
      <c r="B8" s="20" t="s">
        <v>85</v>
      </c>
      <c r="C8" s="23" t="s">
        <v>38</v>
      </c>
      <c r="D8" s="22">
        <v>1</v>
      </c>
      <c r="E8" s="22">
        <v>20</v>
      </c>
      <c r="F8" s="5">
        <f>D8*E8*'Pay Grades'!$B$11</f>
        <v>4000</v>
      </c>
    </row>
    <row r="9" spans="1:6" ht="30" customHeight="1" x14ac:dyDescent="0.25">
      <c r="A9" s="18" t="s">
        <v>86</v>
      </c>
      <c r="B9" s="20" t="s">
        <v>87</v>
      </c>
      <c r="C9" s="23" t="s">
        <v>36</v>
      </c>
      <c r="D9" s="22">
        <v>4</v>
      </c>
      <c r="E9" s="22">
        <v>25</v>
      </c>
      <c r="F9" s="5">
        <f>D9*E9*'Pay Grades'!$B$10</f>
        <v>15000</v>
      </c>
    </row>
    <row r="10" spans="1:6" ht="30" customHeight="1" x14ac:dyDescent="0.25">
      <c r="A10" s="18" t="s">
        <v>88</v>
      </c>
      <c r="B10" s="20" t="s">
        <v>89</v>
      </c>
      <c r="C10" s="23" t="s">
        <v>34</v>
      </c>
      <c r="D10" s="22">
        <v>6</v>
      </c>
      <c r="E10" s="22">
        <v>15</v>
      </c>
      <c r="F10" s="5">
        <f>D10*E10*'Pay Grades'!$B$9</f>
        <v>9000</v>
      </c>
    </row>
    <row r="11" spans="1:6" x14ac:dyDescent="0.25">
      <c r="A11" s="26" t="s">
        <v>90</v>
      </c>
      <c r="B11" s="29"/>
      <c r="C11" s="29"/>
      <c r="D11" s="27">
        <f>SUM(D5:D10)</f>
        <v>15</v>
      </c>
      <c r="E11" s="29"/>
      <c r="F11" s="28">
        <f>SUM(F5:F10)</f>
        <v>57500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 Summary</vt:lpstr>
      <vt:lpstr>Pay Grades</vt:lpstr>
      <vt:lpstr>Field Team Cost</vt:lpstr>
      <vt:lpstr>Data 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Harris</cp:lastModifiedBy>
  <dcterms:created xsi:type="dcterms:W3CDTF">2026-07-23T21:35:49Z</dcterms:created>
  <dcterms:modified xsi:type="dcterms:W3CDTF">2026-07-24T11:12:08Z</dcterms:modified>
</cp:coreProperties>
</file>